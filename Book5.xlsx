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yur Rajp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<sst xmlns="http://schemas.openxmlformats.org/spreadsheetml/2006/main" count="47" uniqueCount="44">
  <si>
    <t xml:space="preserve">Annexure "A"</t>
  </si>
  <si>
    <t xml:space="preserve">Category</t>
  </si>
  <si>
    <t xml:space="preserve">Gujarat MW</t>
  </si>
  <si>
    <t xml:space="preserve">CTC Structure</t>
  </si>
  <si>
    <t xml:space="preserve">Unskilled</t>
  </si>
  <si>
    <t xml:space="preserve">Name</t>
  </si>
  <si>
    <t xml:space="preserve">Mayur Rajput</t>
  </si>
  <si>
    <t xml:space="preserve">Semi Skilled</t>
  </si>
  <si>
    <t xml:space="preserve">Designation</t>
  </si>
  <si>
    <t xml:space="preserve">Sr. UI/UX</t>
  </si>
  <si>
    <t xml:space="preserve">Skilled</t>
  </si>
  <si>
    <t xml:space="preserve">Site / Location</t>
  </si>
  <si>
    <t xml:space="preserve">Ahmedabad</t>
  </si>
  <si>
    <t xml:space="preserve">Date Of Joining</t>
  </si>
  <si>
    <t xml:space="preserve">27th May 2026</t>
  </si>
  <si>
    <t xml:space="preserve">Emp. Code</t>
  </si>
  <si>
    <t xml:space="preserve">PROPOSED SALARY</t>
  </si>
  <si>
    <t xml:space="preserve">Salary Head</t>
  </si>
  <si>
    <t xml:space="preserve">Monthly</t>
  </si>
  <si>
    <t xml:space="preserve">Yearly</t>
  </si>
  <si>
    <t xml:space="preserve">A- Monthly Benefits</t>
  </si>
  <si>
    <t xml:space="preserve">Minimum Wage</t>
  </si>
  <si>
    <t xml:space="preserve">Semi-skilled</t>
  </si>
  <si>
    <t xml:space="preserve">Basic</t>
  </si>
  <si>
    <t xml:space="preserve">HRA @ 50%</t>
  </si>
  <si>
    <t xml:space="preserve">Conveyance Allowance @ 15%</t>
  </si>
  <si>
    <t xml:space="preserve">Compensatory  Allowance</t>
  </si>
  <si>
    <t xml:space="preserve">Bonus</t>
  </si>
  <si>
    <t xml:space="preserve">Gross Salary </t>
  </si>
  <si>
    <t xml:space="preserve">PF ( Employer )</t>
  </si>
  <si>
    <t xml:space="preserve">ESIC Employer )</t>
  </si>
  <si>
    <t xml:space="preserve">CTC - (A) </t>
  </si>
  <si>
    <t xml:space="preserve">Provident fund (Employee)</t>
  </si>
  <si>
    <t xml:space="preserve">ESIC (Employee)</t>
  </si>
  <si>
    <t xml:space="preserve">Income Tax/Prof. Tax</t>
  </si>
  <si>
    <t xml:space="preserve">Take Home Salary</t>
  </si>
  <si>
    <t xml:space="preserve">B - Retirement Benefits</t>
  </si>
  <si>
    <t xml:space="preserve">Gratuity</t>
  </si>
  <si>
    <t xml:space="preserve">Total - (B)</t>
  </si>
  <si>
    <t xml:space="preserve">C - Others Benefits</t>
  </si>
  <si>
    <t xml:space="preserve">P.A.Policy.Premium  </t>
  </si>
  <si>
    <t xml:space="preserve">Firm’s contribution to Mediclaim
Medical insurance</t>
  </si>
  <si>
    <t xml:space="preserve">Total - (C)</t>
  </si>
  <si>
    <t xml:space="preserve">TOTAL CTC   (A+B+C)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</si>
</sst>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[$-409]d\-mmm\-yy;@"/>
    <numFmt numFmtId="167" formatCode="_(* #,##0.00_);_(* \(#,##0.00\);_(* \-??_);_(@_)"/>
    <numFmt numFmtId="168" formatCode="_(* #,##0_);_(* \(#,##0\);_(* \-??_);_(@_)"/>
  </numFmts>
  <fonts count="20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5"/>
      <color theme="1"/>
      <name val="Calibri Light"/>
      <family val="1"/>
    </font>
    <font>
      <b val="true"/>
      <sz val="11"/>
      <color theme="1"/>
      <name val="Calibri"/>
      <family val="2"/>
    </font>
    <font>
      <b val="true"/>
      <u val="single"/>
      <sz val="14"/>
      <color theme="1"/>
      <name val="Calibri Light"/>
      <family val="1"/>
    </font>
    <font>
      <b val="true"/>
      <sz val="12"/>
      <color theme="1"/>
      <name val="Calibri Light"/>
      <family val="1"/>
    </font>
    <font>
      <b val="true"/>
      <sz val="12"/>
      <color theme="1"/>
      <name val="Calibri Light"/>
      <family val="1"/>
    </font>
    <font>
      <b val="true"/>
      <sz val="14"/>
      <color theme="1"/>
      <name val="Calibri"/>
      <family val="2"/>
    </font>
    <font>
      <sz val="14"/>
      <color theme="1"/>
      <name val="Calibri"/>
      <family val="2"/>
    </font>
    <font>
      <b val="true"/>
      <sz val="11"/>
      <color theme="1"/>
      <name val="Calibri Light"/>
      <family val="1"/>
    </font>
    <font>
      <b val="true"/>
      <sz val="12"/>
      <color theme="1"/>
      <name val="Calibri Light"/>
      <family val="1"/>
    </font>
    <font>
      <sz val="12"/>
      <color theme="1"/>
      <name val="Calibri Light"/>
      <family val="1"/>
    </font>
    <font>
      <sz val="12"/>
      <color theme="8" tint="0.3999"/>
      <name val="Calibri Light"/>
      <family val="1"/>
    </font>
    <font>
      <sz val="12"/>
      <color theme="1"/>
      <name val="Calibri"/>
      <family val="2"/>
    </font>
    <font>
      <sz val="12"/>
      <color theme="1"/>
      <name val="Calibri Light"/>
      <family val="1"/>
    </font>
    <font>
      <sz val="12"/>
      <color theme="1"/>
      <name val="Calibri"/>
      <family val="2"/>
    </font>
    <font>
      <b val="true"/>
      <sz val="12"/>
      <color theme="1"/>
      <name val="Calibri"/>
      <family val="2"/>
    </font>
    <font>
      <b val="true"/>
      <sz val="12"/>
      <color theme="1"/>
      <name val="Calibri Light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8" tint="0.5999"/>
        <bgColor rgb="FFBFBFBF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2" fillId="3" borderId="1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16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4" fillId="0" borderId="1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18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5" fillId="0" borderId="19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8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5" fillId="0" borderId="4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0" borderId="8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8" fillId="0" borderId="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2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2" borderId="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4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4" borderId="2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9" fillId="4" borderId="26" xfId="15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7030A0"/>
      <rgbColor rgb="FFFFFFCC"/>
      <rgbColor rgb="FFDAE3F3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G13" activeCellId="0" sqref="G13"/>
    </sheetView>
  </sheetViews>
  <sheetFormatPr defaultColWidth="8.453125" defaultRowHeight="12.8" customHeight="false" zeroHeight="false" outlineLevelRow="0" outlineLevelCol="0"/>
  <cols>
    <col collapsed="false" customWidth="true" hidden="false" outlineLevel="0" max="2" min="2" style="0" width="11.94"/>
    <col collapsed="false" customWidth="true" hidden="false" outlineLevel="0" max="3" min="3" style="0" width="12.27"/>
    <col collapsed="false" customWidth="true" hidden="false" outlineLevel="0" max="4" min="4" style="0" width="5.45"/>
    <col collapsed="false" customWidth="true" hidden="false" outlineLevel="0" max="5" min="5" style="0" width="36.45"/>
    <col collapsed="false" customWidth="true" hidden="false" outlineLevel="0" max="7" min="6" style="0" width="19.18"/>
  </cols>
  <sheetData>
    <row r="1" customFormat="false" ht="13.8" hidden="false" customHeight="false" outlineLevel="0" collapsed="false"/>
    <row r="2" customFormat="false" ht="18.55" hidden="false" customHeight="false" outlineLevel="0" collapsed="false">
      <c r="E2" s="1" t="s">
        <v>0</v>
      </c>
      <c r="F2" s="1"/>
      <c r="G2" s="1"/>
    </row>
    <row r="3" customFormat="false" ht="17.35" hidden="false" customHeight="false" outlineLevel="0" collapsed="false">
      <c r="B3" s="2" t="s">
        <v>1</v>
      </c>
      <c r="C3" s="2" t="s">
        <v>2</v>
      </c>
      <c r="E3" s="3" t="s">
        <v>3</v>
      </c>
      <c r="F3" s="3"/>
      <c r="G3" s="3"/>
    </row>
    <row r="4" customFormat="false" ht="15" hidden="false" customHeight="false" outlineLevel="0" collapsed="false">
      <c r="B4" s="0" t="s">
        <v>4</v>
      </c>
      <c r="C4" s="0" t="n">
        <v>13325</v>
      </c>
      <c r="E4" s="4" t="s">
        <v>5</v>
      </c>
      <c r="F4" s="5" t="s">
        <v>6</v>
      </c>
      <c r="G4" s="5"/>
    </row>
    <row r="5" customFormat="false" ht="15" hidden="false" customHeight="false" outlineLevel="0" collapsed="false">
      <c r="B5" s="0" t="s">
        <v>7</v>
      </c>
      <c r="C5" s="0" t="n">
        <v>13585</v>
      </c>
      <c r="E5" s="6" t="s">
        <v>8</v>
      </c>
      <c r="F5" s="7" t="s">
        <v>9</v>
      </c>
      <c r="G5" s="7"/>
    </row>
    <row r="6" customFormat="false" ht="15" hidden="false" customHeight="false" outlineLevel="0" collapsed="false">
      <c r="B6" s="0" t="s">
        <v>10</v>
      </c>
      <c r="C6" s="0" t="n">
        <v>13897</v>
      </c>
      <c r="E6" s="4" t="s">
        <v>11</v>
      </c>
      <c r="F6" s="8" t="s">
        <v>12</v>
      </c>
      <c r="G6" s="8"/>
    </row>
    <row r="7" customFormat="false" ht="15" hidden="false" customHeight="false" outlineLevel="0" collapsed="false">
      <c r="E7" s="4" t="s">
        <v>13</v>
      </c>
      <c r="F7" s="9" t="s">
        <v>14</v>
      </c>
      <c r="G7" s="9"/>
    </row>
    <row r="8" customFormat="false" ht="33.1" hidden="false" customHeight="true" outlineLevel="0" collapsed="false">
      <c r="E8" s="10" t="s">
        <v>15</v>
      </c>
      <c r="F8" s="11" t="n">
        <v>10101</v>
      </c>
      <c r="G8" s="11"/>
    </row>
    <row r="9" customFormat="false" ht="27.45" hidden="false" customHeight="true" outlineLevel="0" collapsed="false">
      <c r="E9" s="12" t="s">
        <v>1</v>
      </c>
      <c r="F9" s="13" t="s">
        <v>10</v>
      </c>
      <c r="G9" s="14"/>
    </row>
    <row r="10" customFormat="false" ht="21.2" hidden="false" customHeight="true" outlineLevel="0" collapsed="false">
      <c r="E10" s="15" t="s">
        <v>16</v>
      </c>
      <c r="F10" s="15"/>
      <c r="G10" s="15"/>
    </row>
    <row r="11" customFormat="false" ht="27.45" hidden="false" customHeight="true" outlineLevel="0" collapsed="false">
      <c r="E11" s="16" t="s">
        <v>17</v>
      </c>
      <c r="F11" s="17" t="s">
        <v>18</v>
      </c>
      <c r="G11" s="18" t="s">
        <v>19</v>
      </c>
    </row>
    <row r="12" customFormat="false" ht="24.95" hidden="false" customHeight="true" outlineLevel="0" collapsed="false">
      <c r="E12" s="19" t="s">
        <v>20</v>
      </c>
      <c r="F12" s="20"/>
      <c r="G12" s="21" t="n">
        <v>140000</v>
      </c>
      <c r="I12" s="22" t="n">
        <f aca="false">C6+F18+F20+F21</f>
        <v>15697</v>
      </c>
      <c r="J12" s="0" t="s">
        <v>10</v>
      </c>
    </row>
    <row r="13" customFormat="false" ht="23.1" hidden="false" customHeight="true" outlineLevel="0" collapsed="false">
      <c r="E13" s="23" t="s">
        <v>21</v>
      </c>
      <c r="F13" s="24" t="n">
        <f aca="false">IFERROR(VLOOKUP(TRIM(F9),B:C,2,FALSE()),0)</f>
        <v>13897</v>
      </c>
      <c r="G13" s="25" t="n">
        <f aca="false">+F14+F17</f>
        <v>92700</v>
      </c>
      <c r="I13" s="22" t="n">
        <f aca="false">C5+F18+F20+F21</f>
        <v>15385</v>
      </c>
      <c r="J13" s="0" t="s">
        <v>22</v>
      </c>
    </row>
    <row r="14" customFormat="false" ht="29.35" hidden="false" customHeight="true" outlineLevel="0" collapsed="false">
      <c r="E14" s="26" t="s">
        <v>23</v>
      </c>
      <c r="F14" s="27" t="n">
        <f aca="false">ROUND(MAX(F13,G12*50%),0.5)</f>
        <v>70000</v>
      </c>
      <c r="G14" s="28" t="n">
        <f aca="false">+F14*12</f>
        <v>840000</v>
      </c>
      <c r="I14" s="22"/>
    </row>
    <row r="15" customFormat="false" ht="15" hidden="false" customHeight="false" outlineLevel="0" collapsed="false">
      <c r="E15" s="29" t="s">
        <v>24</v>
      </c>
      <c r="F15" s="30" t="n">
        <f aca="false">MIN(ROUND(F14*50%,0),MAX(0,G12-(F14+F18+F20+F21)))</f>
        <v>35000</v>
      </c>
      <c r="G15" s="31" t="n">
        <f aca="false">+F15*12</f>
        <v>420000</v>
      </c>
    </row>
    <row r="16" customFormat="false" ht="15" hidden="false" customHeight="false" outlineLevel="0" collapsed="false">
      <c r="E16" s="29" t="s">
        <v>25</v>
      </c>
      <c r="F16" s="30" t="n">
        <f aca="false">MIN(ROUND(F14*15%,0),MAX(0,G12-(F14+F15+F18+F20+F21)))</f>
        <v>10500</v>
      </c>
      <c r="G16" s="31" t="n">
        <f aca="false">+F16*12</f>
        <v>126000</v>
      </c>
    </row>
    <row r="17" customFormat="false" ht="15" hidden="false" customHeight="false" outlineLevel="0" collapsed="false">
      <c r="E17" s="29" t="s">
        <v>26</v>
      </c>
      <c r="F17" s="30" t="n">
        <f aca="false">MAX(0,G12-(F14+F18+F15+F16+F20+F21))</f>
        <v>22700</v>
      </c>
      <c r="G17" s="31" t="n">
        <f aca="false">+F17*12</f>
        <v>272400</v>
      </c>
    </row>
    <row r="18" customFormat="false" ht="15" hidden="false" customHeight="false" outlineLevel="0" collapsed="false">
      <c r="E18" s="32" t="s">
        <v>27</v>
      </c>
      <c r="F18" s="33" t="n">
        <f aca="false">IF(F14&gt;21000,0,F14*8.33%)</f>
        <v>0</v>
      </c>
      <c r="G18" s="31" t="n">
        <f aca="false">+F18*12</f>
        <v>0</v>
      </c>
      <c r="H18" s="22"/>
    </row>
    <row r="19" customFormat="false" ht="15" hidden="false" customHeight="false" outlineLevel="0" collapsed="false">
      <c r="E19" s="34" t="s">
        <v>28</v>
      </c>
      <c r="F19" s="35" t="n">
        <f aca="false">SUM(F14:F18)</f>
        <v>138200</v>
      </c>
      <c r="G19" s="36" t="n">
        <f aca="false">+F19*12</f>
        <v>1658400</v>
      </c>
      <c r="H19" s="22"/>
    </row>
    <row r="20" customFormat="false" ht="15" hidden="false" customHeight="false" outlineLevel="0" collapsed="false">
      <c r="E20" s="32" t="s">
        <v>29</v>
      </c>
      <c r="F20" s="30" t="n">
        <f aca="false">IF(F14&gt;=15000,1800,IF(AND(F14&lt;=15000,F14&gt;=1),ROUND(SUM(F14*12%),0)))</f>
        <v>1800</v>
      </c>
      <c r="G20" s="31" t="n">
        <f aca="false">+F20*12</f>
        <v>21600</v>
      </c>
      <c r="H20" s="22"/>
    </row>
    <row r="21" customFormat="false" ht="15" hidden="false" customHeight="false" outlineLevel="0" collapsed="false">
      <c r="E21" s="32" t="s">
        <v>30</v>
      </c>
      <c r="F21" s="30" t="n">
        <f aca="false">IF(F14&gt;=21001,0,IF(AND(F14&lt;=21001,F14&gt;=1),ROUND(SUM(F14*3.25%),0)))</f>
        <v>0</v>
      </c>
      <c r="G21" s="31" t="n">
        <f aca="false">+F21*12</f>
        <v>0</v>
      </c>
      <c r="H21" s="22"/>
    </row>
    <row r="22" customFormat="false" ht="15" hidden="false" customHeight="false" outlineLevel="0" collapsed="false">
      <c r="E22" s="34" t="s">
        <v>31</v>
      </c>
      <c r="F22" s="37" t="n">
        <f aca="false">F19+F20+F21</f>
        <v>140000</v>
      </c>
      <c r="G22" s="38" t="n">
        <f aca="false">+F22*12</f>
        <v>1680000</v>
      </c>
    </row>
    <row r="23" customFormat="false" ht="15" hidden="false" customHeight="false" outlineLevel="0" collapsed="false">
      <c r="E23" s="29" t="s">
        <v>32</v>
      </c>
      <c r="F23" s="30" t="n">
        <f aca="false">IF(F14&gt;=15000,1800,IF(AND(F14&lt;=15000,F14&gt;=1),ROUND(SUM(F14*12%),0)))</f>
        <v>1800</v>
      </c>
      <c r="G23" s="31" t="n">
        <f aca="false">+F23*12</f>
        <v>21600</v>
      </c>
    </row>
    <row r="24" customFormat="false" ht="15" hidden="false" customHeight="false" outlineLevel="0" collapsed="false">
      <c r="E24" s="29" t="s">
        <v>33</v>
      </c>
      <c r="F24" s="30" t="n">
        <f aca="false">IF(F14&gt;=21001,0,IF(AND(F14&lt;=21001,F14&gt;=1),ROUND(SUM(F14*0.75%),0)))</f>
        <v>0</v>
      </c>
      <c r="G24" s="31" t="n">
        <f aca="false">+F24*12</f>
        <v>0</v>
      </c>
    </row>
    <row r="25" customFormat="false" ht="15" hidden="false" customHeight="false" outlineLevel="0" collapsed="false">
      <c r="E25" s="29" t="s">
        <v>34</v>
      </c>
      <c r="F25" s="30" t="n">
        <f aca="false">IF(F22&lt;=3000,0,IF(AND(F22&gt;=3001,F22&lt;=6000),0,IF(AND(F22&gt;=6001,F22&lt;=9000),0,IF(AND(F22&gt;=9001,F22&lt;=12000),150,200))))</f>
        <v>200</v>
      </c>
      <c r="G25" s="31" t="n">
        <f aca="false">+F25*12</f>
        <v>2400</v>
      </c>
    </row>
    <row r="26" customFormat="false" ht="15" hidden="false" customHeight="false" outlineLevel="0" collapsed="false">
      <c r="E26" s="34" t="s">
        <v>35</v>
      </c>
      <c r="F26" s="37" t="n">
        <f aca="false">F19-F23-F25-F24</f>
        <v>136200</v>
      </c>
      <c r="G26" s="38" t="n">
        <f aca="false">+F26*12</f>
        <v>1634400</v>
      </c>
    </row>
    <row r="27" customFormat="false" ht="16.5" hidden="false" customHeight="true" outlineLevel="0" collapsed="false">
      <c r="E27" s="39"/>
      <c r="F27" s="40"/>
      <c r="G27" s="41"/>
    </row>
    <row r="28" customFormat="false" ht="15" hidden="false" customHeight="false" outlineLevel="0" collapsed="false">
      <c r="E28" s="42" t="s">
        <v>36</v>
      </c>
      <c r="F28" s="42"/>
      <c r="G28" s="42"/>
    </row>
    <row r="29" customFormat="false" ht="15" hidden="false" customHeight="false" outlineLevel="0" collapsed="false">
      <c r="E29" s="43" t="s">
        <v>37</v>
      </c>
      <c r="F29" s="30" t="n">
        <f aca="false">ROUND(SUM(F14*4.81%),0)</f>
        <v>3367</v>
      </c>
      <c r="G29" s="44" t="n">
        <f aca="false">+F29*12</f>
        <v>40404</v>
      </c>
    </row>
    <row r="30" customFormat="false" ht="15" hidden="false" customHeight="false" outlineLevel="0" collapsed="false">
      <c r="E30" s="43"/>
      <c r="F30" s="30"/>
      <c r="G30" s="44"/>
    </row>
    <row r="31" customFormat="false" ht="15" hidden="false" customHeight="false" outlineLevel="0" collapsed="false">
      <c r="E31" s="34" t="s">
        <v>38</v>
      </c>
      <c r="F31" s="45" t="n">
        <f aca="false">SUM(F29:F30)</f>
        <v>3367</v>
      </c>
      <c r="G31" s="46" t="n">
        <f aca="false">SUM(G29:G30)</f>
        <v>40404</v>
      </c>
    </row>
    <row r="32" customFormat="false" ht="15" hidden="false" customHeight="false" outlineLevel="0" collapsed="false">
      <c r="E32" s="42" t="s">
        <v>39</v>
      </c>
      <c r="F32" s="42"/>
      <c r="G32" s="42"/>
    </row>
    <row r="33" customFormat="false" ht="15" hidden="false" customHeight="false" outlineLevel="0" collapsed="false">
      <c r="E33" s="47" t="s">
        <v>40</v>
      </c>
      <c r="F33" s="48" t="n">
        <f aca="false">ROUND(SUM(+G33/12),0)</f>
        <v>359</v>
      </c>
      <c r="G33" s="44" t="n">
        <f aca="false">ROUND(SUM(IF(F22&gt;=20833.33,500000,F22*24)*(1.5/1000)),0)+ROUND(SUM((F22)*(36)+IF(F22&gt;=20833.33,(F22*24)-(500000)))*((0.45/1000)),0)</f>
        <v>4305</v>
      </c>
    </row>
    <row r="34" customFormat="false" ht="31.5" hidden="false" customHeight="true" outlineLevel="0" collapsed="false">
      <c r="E34" s="49" t="s">
        <v>41</v>
      </c>
      <c r="F34" s="50" t="n">
        <v>0</v>
      </c>
      <c r="G34" s="51" t="n">
        <f aca="false">+F34*12</f>
        <v>0</v>
      </c>
    </row>
    <row r="35" customFormat="false" ht="15" hidden="false" customHeight="false" outlineLevel="0" collapsed="false">
      <c r="E35" s="34" t="s">
        <v>42</v>
      </c>
      <c r="F35" s="52" t="n">
        <f aca="false">+F33+F34</f>
        <v>359</v>
      </c>
      <c r="G35" s="53" t="n">
        <f aca="false">+G33+G34</f>
        <v>4305</v>
      </c>
    </row>
    <row r="36" customFormat="false" ht="15" hidden="false" customHeight="false" outlineLevel="0" collapsed="false">
      <c r="E36" s="54" t="s">
        <v>43</v>
      </c>
      <c r="F36" s="55" t="n">
        <f aca="false">+F22+F31+F35</f>
        <v>143726</v>
      </c>
      <c r="G36" s="56" t="n">
        <f aca="false">+G22+G31+G35</f>
        <v>1724709</v>
      </c>
    </row>
  </sheetData>
  <mergeCells count="10">
    <mergeCell ref="E2:G2"/>
    <mergeCell ref="E3:G3"/>
    <mergeCell ref="F4:G4"/>
    <mergeCell ref="F5:G5"/>
    <mergeCell ref="F6:G6"/>
    <mergeCell ref="F7:G7"/>
    <mergeCell ref="F8:G8"/>
    <mergeCell ref="E10:G10"/>
    <mergeCell ref="E28:G28"/>
    <mergeCell ref="E32:G32"/>
  </mergeCells>
  <dataValidations count="1">
    <dataValidation allowBlank="false" errorStyle="stop" operator="equal" showDropDown="false" showErrorMessage="false" showInputMessage="false" sqref="F9" type="list">
      <formula1>"Unskilled,Semi Skilled,Skilled"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2026-06-10T10:35:11Z</dcterms:created>
  <dc:creator>Sandeep Kumar</dc:creator>
  <dc:description/>
  <dc:language>en-IN</dc:language>
  <cp:lastModifiedBy/>
  <dcterms:modified xsi:type="dcterms:W3CDTF">2026-06-21T12:14:47Z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